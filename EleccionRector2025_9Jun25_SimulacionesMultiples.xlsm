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 J Delgado H\Downloads\"/>
    </mc:Choice>
  </mc:AlternateContent>
  <xr:revisionPtr revIDLastSave="0" documentId="13_ncr:1_{BD570750-AFBE-4C6E-B430-B6A3F2AC71B1}" xr6:coauthVersionLast="47" xr6:coauthVersionMax="47" xr10:uidLastSave="{00000000-0000-0000-0000-000000000000}"/>
  <bookViews>
    <workbookView xWindow="-108" yWindow="-108" windowWidth="23256" windowHeight="12576" xr2:uid="{67A5A55E-65E7-B142-AE4C-38EAEFBA933D}"/>
  </bookViews>
  <sheets>
    <sheet name="Sheet1" sheetId="1" r:id="rId1"/>
  </sheets>
  <functionGroups builtInGroupCount="19"/>
  <definedNames>
    <definedName name="_xlnm._FilterDatabase" localSheetId="0" hidden="1">Sheet1!$A$1:$K$56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0" i="1" l="1"/>
  <c r="J68" i="1" s="1"/>
  <c r="K76" i="1"/>
  <c r="K77" i="1"/>
  <c r="I76" i="1"/>
  <c r="I77" i="1"/>
  <c r="K60" i="1"/>
  <c r="K68" i="1" s="1"/>
  <c r="K61" i="1"/>
  <c r="K69" i="1" s="1"/>
  <c r="I61" i="1"/>
  <c r="I69" i="1" s="1"/>
  <c r="I60" i="1"/>
  <c r="I68" i="1" s="1"/>
  <c r="I62" i="1"/>
  <c r="I70" i="1" s="1"/>
  <c r="K78" i="1"/>
  <c r="K79" i="1"/>
  <c r="J80" i="1"/>
  <c r="K80" i="1"/>
  <c r="I80" i="1"/>
  <c r="I79" i="1"/>
  <c r="I78" i="1"/>
  <c r="G69" i="1"/>
  <c r="G70" i="1"/>
  <c r="G71" i="1"/>
  <c r="G72" i="1"/>
  <c r="G68" i="1"/>
  <c r="G61" i="1"/>
  <c r="G62" i="1"/>
  <c r="G63" i="1"/>
  <c r="G64" i="1"/>
  <c r="G60" i="1"/>
  <c r="K62" i="1"/>
  <c r="K70" i="1" s="1"/>
  <c r="K63" i="1"/>
  <c r="K71" i="1" s="1"/>
  <c r="K64" i="1"/>
  <c r="K72" i="1" s="1"/>
  <c r="I64" i="1"/>
  <c r="I72" i="1" s="1"/>
  <c r="I63" i="1"/>
  <c r="J79" i="1" l="1"/>
  <c r="L79" i="1" s="1"/>
  <c r="J78" i="1"/>
  <c r="L78" i="1" s="1"/>
  <c r="J77" i="1"/>
  <c r="L77" i="1" s="1"/>
  <c r="J64" i="1"/>
  <c r="J72" i="1" s="1"/>
  <c r="L72" i="1" s="1"/>
  <c r="J76" i="1"/>
  <c r="L76" i="1" s="1"/>
  <c r="J63" i="1"/>
  <c r="J71" i="1" s="1"/>
  <c r="J62" i="1"/>
  <c r="J70" i="1" s="1"/>
  <c r="L70" i="1" s="1"/>
  <c r="J61" i="1"/>
  <c r="J69" i="1" s="1"/>
  <c r="L69" i="1" s="1"/>
  <c r="L80" i="1"/>
  <c r="L60" i="1"/>
  <c r="K73" i="1"/>
  <c r="I65" i="1"/>
  <c r="K65" i="1"/>
  <c r="I71" i="1"/>
  <c r="H5" i="1"/>
  <c r="H13" i="1"/>
  <c r="H14" i="1"/>
  <c r="H15" i="1"/>
  <c r="H16" i="1"/>
  <c r="H21" i="1"/>
  <c r="H23" i="1"/>
  <c r="H24" i="1"/>
  <c r="H29" i="1"/>
  <c r="H30" i="1"/>
  <c r="H31" i="1"/>
  <c r="H32" i="1"/>
  <c r="H37" i="1"/>
  <c r="H39" i="1"/>
  <c r="H40" i="1"/>
  <c r="H45" i="1"/>
  <c r="H46" i="1"/>
  <c r="H47" i="1"/>
  <c r="H48" i="1"/>
  <c r="H53" i="1"/>
  <c r="H55" i="1"/>
  <c r="F4" i="1"/>
  <c r="F5" i="1"/>
  <c r="F6" i="1"/>
  <c r="F12" i="1"/>
  <c r="F13" i="1"/>
  <c r="F14" i="1"/>
  <c r="F21" i="1"/>
  <c r="F22" i="1"/>
  <c r="F28" i="1"/>
  <c r="F29" i="1"/>
  <c r="F30" i="1"/>
  <c r="F36" i="1"/>
  <c r="F37" i="1"/>
  <c r="F45" i="1"/>
  <c r="F46" i="1"/>
  <c r="F52" i="1"/>
  <c r="F53" i="1"/>
  <c r="F54" i="1"/>
  <c r="D56" i="1"/>
  <c r="G4" i="1" s="1"/>
  <c r="E56" i="1"/>
  <c r="H9" i="1" s="1"/>
  <c r="C56" i="1"/>
  <c r="F7" i="1" s="1"/>
  <c r="L63" i="1" l="1"/>
  <c r="L71" i="1"/>
  <c r="L61" i="1"/>
  <c r="L62" i="1"/>
  <c r="L64" i="1"/>
  <c r="J73" i="1"/>
  <c r="J65" i="1"/>
  <c r="L65" i="1" s="1"/>
  <c r="G10" i="1"/>
  <c r="G39" i="1"/>
  <c r="G49" i="1"/>
  <c r="G48" i="1"/>
  <c r="G34" i="1"/>
  <c r="G23" i="1"/>
  <c r="G9" i="1"/>
  <c r="G47" i="1"/>
  <c r="G33" i="1"/>
  <c r="G19" i="1"/>
  <c r="G8" i="1"/>
  <c r="G32" i="1"/>
  <c r="H8" i="1"/>
  <c r="G50" i="1"/>
  <c r="G11" i="1"/>
  <c r="G24" i="1"/>
  <c r="G43" i="1"/>
  <c r="G18" i="1"/>
  <c r="G7" i="1"/>
  <c r="H7" i="1"/>
  <c r="G25" i="1"/>
  <c r="G35" i="1"/>
  <c r="G42" i="1"/>
  <c r="G31" i="1"/>
  <c r="G17" i="1"/>
  <c r="G3" i="1"/>
  <c r="F44" i="1"/>
  <c r="G55" i="1"/>
  <c r="G41" i="1"/>
  <c r="G27" i="1"/>
  <c r="G16" i="1"/>
  <c r="F38" i="1"/>
  <c r="F20" i="1"/>
  <c r="G51" i="1"/>
  <c r="G40" i="1"/>
  <c r="G26" i="1"/>
  <c r="G15" i="1"/>
  <c r="H54" i="1"/>
  <c r="H38" i="1"/>
  <c r="H22" i="1"/>
  <c r="H6" i="1"/>
  <c r="F51" i="1"/>
  <c r="F19" i="1"/>
  <c r="H4" i="1"/>
  <c r="F41" i="1"/>
  <c r="F33" i="1"/>
  <c r="F25" i="1"/>
  <c r="F17" i="1"/>
  <c r="F9" i="1"/>
  <c r="G54" i="1"/>
  <c r="G46" i="1"/>
  <c r="G38" i="1"/>
  <c r="G30" i="1"/>
  <c r="G22" i="1"/>
  <c r="G14" i="1"/>
  <c r="G6" i="1"/>
  <c r="H51" i="1"/>
  <c r="H43" i="1"/>
  <c r="H35" i="1"/>
  <c r="H27" i="1"/>
  <c r="H19" i="1"/>
  <c r="H11" i="1"/>
  <c r="H3" i="1"/>
  <c r="F35" i="1"/>
  <c r="F3" i="1"/>
  <c r="F50" i="1"/>
  <c r="F34" i="1"/>
  <c r="F10" i="1"/>
  <c r="H52" i="1"/>
  <c r="H36" i="1"/>
  <c r="H20" i="1"/>
  <c r="G2" i="1"/>
  <c r="F48" i="1"/>
  <c r="F32" i="1"/>
  <c r="F24" i="1"/>
  <c r="F8" i="1"/>
  <c r="G53" i="1"/>
  <c r="G37" i="1"/>
  <c r="G29" i="1"/>
  <c r="G21" i="1"/>
  <c r="G13" i="1"/>
  <c r="G5" i="1"/>
  <c r="H42" i="1"/>
  <c r="H34" i="1"/>
  <c r="H26" i="1"/>
  <c r="H18" i="1"/>
  <c r="H10" i="1"/>
  <c r="F43" i="1"/>
  <c r="F27" i="1"/>
  <c r="F11" i="1"/>
  <c r="F42" i="1"/>
  <c r="F26" i="1"/>
  <c r="F18" i="1"/>
  <c r="H44" i="1"/>
  <c r="H28" i="1"/>
  <c r="H12" i="1"/>
  <c r="F49" i="1"/>
  <c r="F40" i="1"/>
  <c r="F16" i="1"/>
  <c r="G45" i="1"/>
  <c r="H50" i="1"/>
  <c r="F55" i="1"/>
  <c r="F47" i="1"/>
  <c r="F39" i="1"/>
  <c r="F31" i="1"/>
  <c r="F23" i="1"/>
  <c r="F15" i="1"/>
  <c r="G52" i="1"/>
  <c r="G44" i="1"/>
  <c r="G36" i="1"/>
  <c r="G28" i="1"/>
  <c r="G20" i="1"/>
  <c r="G12" i="1"/>
  <c r="H49" i="1"/>
  <c r="H41" i="1"/>
  <c r="H33" i="1"/>
  <c r="H25" i="1"/>
  <c r="H17" i="1"/>
  <c r="I73" i="1"/>
  <c r="L68" i="1"/>
  <c r="H2" i="1"/>
  <c r="F2" i="1"/>
  <c r="L73" i="1" l="1"/>
  <c r="M69" i="1" s="1"/>
  <c r="F56" i="1"/>
  <c r="H56" i="1"/>
  <c r="G56" i="1"/>
  <c r="M65" i="1"/>
  <c r="M63" i="1"/>
  <c r="M61" i="1"/>
  <c r="M60" i="1"/>
  <c r="M62" i="1"/>
  <c r="M64" i="1"/>
  <c r="M71" i="1" l="1"/>
  <c r="M73" i="1"/>
  <c r="M70" i="1"/>
  <c r="M72" i="1"/>
  <c r="M68" i="1"/>
  <c r="J81" i="1"/>
  <c r="I81" i="1"/>
  <c r="K81" i="1"/>
  <c r="L81" i="1" l="1"/>
</calcChain>
</file>

<file path=xl/sharedStrings.xml><?xml version="1.0" encoding="utf-8"?>
<sst xmlns="http://schemas.openxmlformats.org/spreadsheetml/2006/main" count="96" uniqueCount="74">
  <si>
    <t>Espacio Académico</t>
  </si>
  <si>
    <t>Alumnos</t>
  </si>
  <si>
    <t>Profesores</t>
  </si>
  <si>
    <t>Administrativos</t>
  </si>
  <si>
    <t>Cuauhtemoc</t>
  </si>
  <si>
    <t>Angel Garibay</t>
  </si>
  <si>
    <t>Pablo González</t>
  </si>
  <si>
    <t>Ignacio Ramírez</t>
  </si>
  <si>
    <t>Isidro Fabela</t>
  </si>
  <si>
    <t>Adolfo López</t>
  </si>
  <si>
    <t>Ignacio Pichardo</t>
  </si>
  <si>
    <t>Nezahualcoyotl</t>
  </si>
  <si>
    <t>Sor Juana</t>
  </si>
  <si>
    <t>Texcoco</t>
  </si>
  <si>
    <t>Escuela Artes</t>
  </si>
  <si>
    <t>F. Antropología</t>
  </si>
  <si>
    <t>F. Arquitectura y D</t>
  </si>
  <si>
    <t>F. Artes</t>
  </si>
  <si>
    <t>F. Ciencias</t>
  </si>
  <si>
    <t>F. Ciencias Agricolas</t>
  </si>
  <si>
    <t>F. Ciencias Conducta</t>
  </si>
  <si>
    <t>F. Contaduría y Adm</t>
  </si>
  <si>
    <t>F. Ciencias Políticas</t>
  </si>
  <si>
    <t>F. Derecho</t>
  </si>
  <si>
    <t>F. Economía</t>
  </si>
  <si>
    <t>F. Enfermería</t>
  </si>
  <si>
    <t>F. Geografía</t>
  </si>
  <si>
    <t>F. Humanidades</t>
  </si>
  <si>
    <t>F. Ingeniería</t>
  </si>
  <si>
    <t>F. Lenguas</t>
  </si>
  <si>
    <t>F. Medicina</t>
  </si>
  <si>
    <t>F. Medicina Veterinaria</t>
  </si>
  <si>
    <t>F. Odontología</t>
  </si>
  <si>
    <t>F. Planeación Urbana</t>
  </si>
  <si>
    <t>F. Química</t>
  </si>
  <si>
    <t>F. Turismo</t>
  </si>
  <si>
    <t>CU Amecameca</t>
  </si>
  <si>
    <t>CU Atlacomulco</t>
  </si>
  <si>
    <t>CU Ecatepec</t>
  </si>
  <si>
    <t>CU Nezahualcoyotl</t>
  </si>
  <si>
    <t>CU Temascaltepec</t>
  </si>
  <si>
    <t>CU Tenancingo</t>
  </si>
  <si>
    <t>CU Texcoco</t>
  </si>
  <si>
    <t>CU Valle de Chalco</t>
  </si>
  <si>
    <t>CU Valle de México</t>
  </si>
  <si>
    <t>CU Teotihuacan</t>
  </si>
  <si>
    <t>CU Zumpango</t>
  </si>
  <si>
    <t>UAP Acolman</t>
  </si>
  <si>
    <t>UAP Chimalhuacan</t>
  </si>
  <si>
    <t>UAP Cuautitlàn Izcalli</t>
  </si>
  <si>
    <t>UAP Huehuetoca</t>
  </si>
  <si>
    <t>UAP Tejupilco</t>
  </si>
  <si>
    <t>UAP Tianguistenco</t>
  </si>
  <si>
    <t>UAP Tlalnepantla</t>
  </si>
  <si>
    <t>Instituto Ciencias Agrícolas</t>
  </si>
  <si>
    <t>Instituto Estudios Universidad</t>
  </si>
  <si>
    <t>Instituto Ciencias del Agua</t>
  </si>
  <si>
    <t>Administración Central</t>
  </si>
  <si>
    <t>Peso Alumnos</t>
  </si>
  <si>
    <t>Peso Profesores</t>
  </si>
  <si>
    <t>Peso Administrativos</t>
  </si>
  <si>
    <t>Votos Alumnos</t>
  </si>
  <si>
    <t>Votos Profesores</t>
  </si>
  <si>
    <t>Votos Administrativos</t>
  </si>
  <si>
    <t>Aspirantes</t>
  </si>
  <si>
    <t>Resultados</t>
  </si>
  <si>
    <t>%</t>
  </si>
  <si>
    <t>Color</t>
  </si>
  <si>
    <t>Total</t>
  </si>
  <si>
    <t>Pesos</t>
  </si>
  <si>
    <t>Aspirante</t>
  </si>
  <si>
    <t>Peso por espacio</t>
  </si>
  <si>
    <t>Promedio</t>
  </si>
  <si>
    <t>Resultado votado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</si>
</sst>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1D35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1" xfId="0" applyBorder="1"/>
    <xf numFmtId="10" fontId="0" fillId="0" borderId="1" xfId="1" applyNumberFormat="1" applyFont="1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0" fontId="0" fillId="0" borderId="0" xfId="0" applyNumberFormat="1"/>
    <xf numFmtId="9" fontId="0" fillId="0" borderId="1" xfId="1" applyFont="1" applyBorder="1"/>
    <xf numFmtId="10" fontId="0" fillId="0" borderId="0" xfId="1" applyNumberFormat="1" applyFont="1"/>
    <xf numFmtId="10" fontId="0" fillId="0" borderId="0" xfId="1" applyNumberFormat="1" applyFont="1" applyBorder="1"/>
    <xf numFmtId="0" fontId="0" fillId="7" borderId="0" xfId="0" applyFill="1"/>
    <xf numFmtId="0" fontId="0" fillId="7" borderId="1" xfId="0" applyFill="1" applyBorder="1"/>
    <xf numFmtId="0" fontId="2" fillId="0" borderId="1" xfId="0" applyNumberFormat="1" applyFont="1" applyBorder="1"/>
    <xf numFmtId="0" fontId="0" fillId="7" borderId="1" xfId="0" applyNumberFormat="1" applyFill="1" applyBorder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Resultados de aspirantes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Porcentaje</c:v>
          </c:tx>
          <c:invertIfNegative val="0"/>
          <c:cat>
            <c:numRef>
              <c:f>Sheet1!$M$3:$M$7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Sheet1!$O$3:$O$7</c:f>
              <c:numCache>
                <c:formatCode>0.00%</c:formatCode>
                <c:ptCount val="5"/>
                <c:pt idx="0">
                  <c:v>0</c:v>
                </c:pt>
                <c:pt idx="1">
                  <c:v>0.43209999999999998</c:v>
                </c:pt>
                <c:pt idx="2">
                  <c:v>0</c:v>
                </c:pt>
                <c:pt idx="3">
                  <c:v>0.56789999999999996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A5-8D4D-87B2-10AE5B905996}"/>
            </c:ext>
          </c:extLst>
        </c:ser>
        <c:ser>
          <c:idx val="1"/>
          <c:order val="1"/>
          <c:invertIfNegative val="0"/>
          <c:extLst>
            <c:ext xmlns:c16="http://schemas.microsoft.com/office/drawing/2014/chart" uri="{C3380CC4-5D6E-409C-BE32-E72D297353CC}">
              <c16:uniqueId val="{00000C05-EE72-4D51-A224-3EFB99576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5878912"/>
        <c:axId val="1897207968"/>
      </c:barChart>
      <c:catAx>
        <c:axId val="1325878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Aspitante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97207968"/>
        <c:crosses val="autoZero"/>
        <c:auto val="1"/>
        <c:lblAlgn val="ctr"/>
        <c:lblOffset val="100"/>
        <c:noMultiLvlLbl val="0"/>
      </c:catAx>
      <c:valAx>
        <c:axId val="1897207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Porcentaje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13258789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Resultados Ponderados</a:t>
            </a:r>
            <a:r>
              <a:rPr lang="es-MX" baseline="0"/>
              <a:t> Aspirantes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4636385790861423"/>
          <c:y val="2.7611400110265576E-2"/>
          <c:w val="0.85336111111111113"/>
          <c:h val="0.72094889180519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Sheet1!$G$68:$G$72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Sheet1!$M$68:$M$72</c:f>
              <c:numCache>
                <c:formatCode>0.00%</c:formatCode>
                <c:ptCount val="5"/>
                <c:pt idx="0">
                  <c:v>0.21759259259259259</c:v>
                </c:pt>
                <c:pt idx="1">
                  <c:v>0.15740740740740741</c:v>
                </c:pt>
                <c:pt idx="2">
                  <c:v>0.19444444444444445</c:v>
                </c:pt>
                <c:pt idx="3">
                  <c:v>0.20833333333333334</c:v>
                </c:pt>
                <c:pt idx="4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4E-9B42-9E4A-446699DDA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7818768"/>
        <c:axId val="1667484832"/>
      </c:barChart>
      <c:catAx>
        <c:axId val="166781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67484832"/>
        <c:crosses val="autoZero"/>
        <c:auto val="1"/>
        <c:lblAlgn val="ctr"/>
        <c:lblOffset val="100"/>
        <c:noMultiLvlLbl val="0"/>
      </c:catAx>
      <c:valAx>
        <c:axId val="166748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6781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Sheet1!$L$75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Sheet1!$G$76:$G$80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Sheet1!$L$76:$L$80</c:f>
              <c:numCache>
                <c:formatCode>0.00%</c:formatCode>
                <c:ptCount val="5"/>
                <c:pt idx="0">
                  <c:v>0.21201028406657182</c:v>
                </c:pt>
                <c:pt idx="1">
                  <c:v>0.16143146309263109</c:v>
                </c:pt>
                <c:pt idx="2">
                  <c:v>0.17436908146666832</c:v>
                </c:pt>
                <c:pt idx="3">
                  <c:v>0.19036517247883478</c:v>
                </c:pt>
                <c:pt idx="4">
                  <c:v>0.26182399889529401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73-3749-A4F1-F4F2C8EAE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7904960"/>
        <c:axId val="1507906672"/>
      </c:barChart>
      <c:catAx>
        <c:axId val="150790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7906672"/>
        <c:crosses val="autoZero"/>
        <c:auto val="1"/>
        <c:lblAlgn val="ctr"/>
        <c:lblOffset val="100"/>
        <c:noMultiLvlLbl val="0"/>
      </c:catAx>
      <c:valAx>
        <c:axId val="15079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790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ResultVoto HCU)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Sheet1!$M$59</c:f>
              <c:strCache>
                <c:ptCount val="1"/>
                <c:pt idx="0">
                  <c:v>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Sheet1!$G$60:$G$64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Sheet1!$M$60:$M$64</c:f>
              <c:numCache>
                <c:formatCode>0.00%</c:formatCode>
                <c:ptCount val="5"/>
                <c:pt idx="0">
                  <c:v>0.22839506172839505</c:v>
                </c:pt>
                <c:pt idx="1">
                  <c:v>0.16666666666666666</c:v>
                </c:pt>
                <c:pt idx="2">
                  <c:v>0.19135802469135801</c:v>
                </c:pt>
                <c:pt idx="3">
                  <c:v>0.20370370370370369</c:v>
                </c:pt>
                <c:pt idx="4">
                  <c:v>0.20987654320987653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4-3240-ADCA-DC1734A89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1920800"/>
        <c:axId val="1752127232"/>
      </c:barChart>
      <c:catAx>
        <c:axId val="175192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2127232"/>
        <c:crosses val="autoZero"/>
        <c:auto val="1"/>
        <c:lblAlgn val="ctr"/>
        <c:lblOffset val="100"/>
        <c:noMultiLvlLbl val="0"/>
      </c:catAx>
      <c:valAx>
        <c:axId val="175212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192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840850</xdr:colOff>
      <xdr:row>9</xdr:row>
      <xdr:rowOff>118437</xdr:rowOff>
    </xdr:from>
    <xdr:to>
      <xdr:col>21</xdr:col>
      <xdr:colOff>569235</xdr:colOff>
      <xdr:row>19</xdr:row>
      <xdr:rowOff>186360</xdr:rowOff>
    </xdr:to>
    <xdr:graphicFrame macro="">
      <xdr:nvGraphicFramePr>
        <xdr:cNvPr id="5" name="Histograma">
          <a:extLst>
            <a:ext uri="{FF2B5EF4-FFF2-40B4-BE49-F238E27FC236}">
              <a16:creationId xmlns:a16="http://schemas.microsoft.com/office/drawing/2014/main" id="{3921C27C-0430-3344-6653-6EFF06A63C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314</xdr:colOff>
      <xdr:row>63</xdr:row>
      <xdr:rowOff>127000</xdr:rowOff>
    </xdr:from>
    <xdr:to>
      <xdr:col>18</xdr:col>
      <xdr:colOff>101600</xdr:colOff>
      <xdr:row>74</xdr:row>
      <xdr:rowOff>32815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8216ED0-1F4A-AED1-F3F0-DD08475200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76199</xdr:colOff>
      <xdr:row>74</xdr:row>
      <xdr:rowOff>143933</xdr:rowOff>
    </xdr:from>
    <xdr:to>
      <xdr:col>18</xdr:col>
      <xdr:colOff>254000</xdr:colOff>
      <xdr:row>84</xdr:row>
      <xdr:rowOff>190500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7156963E-7030-B741-04FB-83F8CF256D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655608</xdr:colOff>
      <xdr:row>51</xdr:row>
      <xdr:rowOff>101599</xdr:rowOff>
    </xdr:from>
    <xdr:to>
      <xdr:col>18</xdr:col>
      <xdr:colOff>25400</xdr:colOff>
      <xdr:row>62</xdr:row>
      <xdr:rowOff>67812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829A9364-6F6D-953E-9FA2-5932E29155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DABD1-9649-464B-A6F3-724823E15746}">
  <sheetPr codeName="Hoja1"/>
  <dimension ref="A1:P89"/>
  <sheetViews>
    <sheetView tabSelected="1" topLeftCell="E52" zoomScale="131" zoomScaleNormal="90" workbookViewId="0">
      <selection activeCell="I76" sqref="I76"/>
    </sheetView>
  </sheetViews>
  <sheetFormatPr baseColWidth="10" defaultRowHeight="15.6" x14ac:dyDescent="0.3"/>
  <cols>
    <col min="2" max="2" width="25.796875" bestFit="1" customWidth="1"/>
    <col min="5" max="5" width="14" bestFit="1" customWidth="1"/>
    <col min="6" max="6" width="12.69921875" bestFit="1" customWidth="1"/>
    <col min="7" max="7" width="14.19921875" bestFit="1" customWidth="1"/>
    <col min="8" max="8" width="18.5" bestFit="1" customWidth="1"/>
    <col min="9" max="9" width="13.5" bestFit="1" customWidth="1"/>
    <col min="10" max="10" width="15" bestFit="1" customWidth="1"/>
    <col min="11" max="11" width="20.796875" bestFit="1" customWidth="1"/>
  </cols>
  <sheetData>
    <row r="1" spans="1:16" x14ac:dyDescent="0.3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58</v>
      </c>
      <c r="G1" s="1" t="s">
        <v>59</v>
      </c>
      <c r="H1" s="1" t="s">
        <v>60</v>
      </c>
      <c r="I1" s="1" t="s">
        <v>61</v>
      </c>
      <c r="J1" s="1" t="s">
        <v>62</v>
      </c>
      <c r="K1" s="1" t="s">
        <v>63</v>
      </c>
    </row>
    <row r="2" spans="1:16" x14ac:dyDescent="0.3">
      <c r="A2" s="1">
        <v>1</v>
      </c>
      <c r="B2" s="1" t="s">
        <v>4</v>
      </c>
      <c r="C2" s="1">
        <v>3379</v>
      </c>
      <c r="D2" s="1">
        <v>136</v>
      </c>
      <c r="E2" s="1">
        <v>56</v>
      </c>
      <c r="F2" s="2">
        <f>C2/$C$56</f>
        <v>3.4442337879436527E-2</v>
      </c>
      <c r="G2" s="2">
        <f>D2/$D$56</f>
        <v>1.9154929577464789E-2</v>
      </c>
      <c r="H2" s="2">
        <f>E2/$E$56</f>
        <v>2.257154373236598E-2</v>
      </c>
      <c r="I2" s="19">
        <v>4</v>
      </c>
      <c r="J2" s="20">
        <v>5</v>
      </c>
      <c r="K2" s="20">
        <v>1</v>
      </c>
      <c r="M2" t="s">
        <v>64</v>
      </c>
      <c r="N2" t="s">
        <v>65</v>
      </c>
      <c r="O2" t="s">
        <v>66</v>
      </c>
      <c r="P2" t="s">
        <v>67</v>
      </c>
    </row>
    <row r="3" spans="1:16" x14ac:dyDescent="0.3">
      <c r="A3" s="1">
        <v>2</v>
      </c>
      <c r="B3" s="1" t="s">
        <v>5</v>
      </c>
      <c r="C3" s="1">
        <v>3000</v>
      </c>
      <c r="D3" s="1">
        <v>120</v>
      </c>
      <c r="E3" s="1">
        <v>56</v>
      </c>
      <c r="F3" s="2">
        <f t="shared" ref="F3:F55" si="0">C3/$C$56</f>
        <v>3.0579169469757202E-2</v>
      </c>
      <c r="G3" s="2">
        <f t="shared" ref="G3:G55" si="1">D3/$D$56</f>
        <v>1.6901408450704224E-2</v>
      </c>
      <c r="H3" s="2">
        <f t="shared" ref="H3:H55" si="2">E3/$E$56</f>
        <v>2.257154373236598E-2</v>
      </c>
      <c r="I3" s="19">
        <v>2</v>
      </c>
      <c r="J3" s="20">
        <v>2</v>
      </c>
      <c r="K3" s="20">
        <v>1</v>
      </c>
      <c r="M3">
        <v>1</v>
      </c>
      <c r="N3">
        <v>0</v>
      </c>
      <c r="O3" s="13">
        <v>0</v>
      </c>
      <c r="P3" s="8"/>
    </row>
    <row r="4" spans="1:16" x14ac:dyDescent="0.3">
      <c r="A4" s="1">
        <v>3</v>
      </c>
      <c r="B4" s="1" t="s">
        <v>6</v>
      </c>
      <c r="C4" s="1">
        <v>2271</v>
      </c>
      <c r="D4" s="1">
        <v>107</v>
      </c>
      <c r="E4" s="1">
        <v>33</v>
      </c>
      <c r="F4" s="2">
        <f t="shared" si="0"/>
        <v>2.3148431288606202E-2</v>
      </c>
      <c r="G4" s="2">
        <f t="shared" si="1"/>
        <v>1.5070422535211268E-2</v>
      </c>
      <c r="H4" s="2">
        <f t="shared" si="2"/>
        <v>1.3301088270858524E-2</v>
      </c>
      <c r="I4" s="19">
        <v>5</v>
      </c>
      <c r="J4" s="20">
        <v>5</v>
      </c>
      <c r="K4" s="20">
        <v>2</v>
      </c>
      <c r="M4">
        <v>2</v>
      </c>
      <c r="N4">
        <v>70</v>
      </c>
      <c r="O4" s="13">
        <v>0.43209999999999998</v>
      </c>
      <c r="P4" s="9"/>
    </row>
    <row r="5" spans="1:16" x14ac:dyDescent="0.3">
      <c r="A5" s="1">
        <v>4</v>
      </c>
      <c r="B5" s="1" t="s">
        <v>7</v>
      </c>
      <c r="C5" s="1">
        <v>2168</v>
      </c>
      <c r="D5" s="1">
        <v>102</v>
      </c>
      <c r="E5" s="1">
        <v>43</v>
      </c>
      <c r="F5" s="2">
        <f t="shared" si="0"/>
        <v>2.2098546470144538E-2</v>
      </c>
      <c r="G5" s="2">
        <f t="shared" si="1"/>
        <v>1.4366197183098591E-2</v>
      </c>
      <c r="H5" s="2">
        <f t="shared" si="2"/>
        <v>1.7331721080209594E-2</v>
      </c>
      <c r="I5" s="19">
        <v>1</v>
      </c>
      <c r="J5" s="20">
        <v>1</v>
      </c>
      <c r="K5" s="20">
        <v>4</v>
      </c>
      <c r="M5">
        <v>3</v>
      </c>
      <c r="N5">
        <v>0</v>
      </c>
      <c r="O5" s="13">
        <v>0</v>
      </c>
      <c r="P5" s="10"/>
    </row>
    <row r="6" spans="1:16" x14ac:dyDescent="0.3">
      <c r="A6" s="1">
        <v>5</v>
      </c>
      <c r="B6" s="1" t="s">
        <v>8</v>
      </c>
      <c r="C6" s="1">
        <v>1290</v>
      </c>
      <c r="D6" s="1">
        <v>52</v>
      </c>
      <c r="E6" s="1">
        <v>21</v>
      </c>
      <c r="F6" s="2">
        <f t="shared" si="0"/>
        <v>1.3149042871995597E-2</v>
      </c>
      <c r="G6" s="2">
        <f t="shared" si="1"/>
        <v>7.3239436619718309E-3</v>
      </c>
      <c r="H6" s="2">
        <f t="shared" si="2"/>
        <v>8.4643288996372433E-3</v>
      </c>
      <c r="I6" s="19">
        <v>1</v>
      </c>
      <c r="J6" s="20">
        <v>4</v>
      </c>
      <c r="K6" s="20">
        <v>5</v>
      </c>
      <c r="M6">
        <v>4</v>
      </c>
      <c r="N6">
        <v>92</v>
      </c>
      <c r="O6" s="13">
        <v>0.56789999999999996</v>
      </c>
      <c r="P6" s="11"/>
    </row>
    <row r="7" spans="1:16" x14ac:dyDescent="0.3">
      <c r="A7" s="1">
        <v>6</v>
      </c>
      <c r="B7" s="1" t="s">
        <v>9</v>
      </c>
      <c r="C7" s="1">
        <v>3873</v>
      </c>
      <c r="D7" s="1">
        <v>179</v>
      </c>
      <c r="E7" s="1">
        <v>62</v>
      </c>
      <c r="F7" s="2">
        <f t="shared" si="0"/>
        <v>3.9477707785456548E-2</v>
      </c>
      <c r="G7" s="2">
        <f t="shared" si="1"/>
        <v>2.5211267605633803E-2</v>
      </c>
      <c r="H7" s="2">
        <f t="shared" si="2"/>
        <v>2.4989923417976623E-2</v>
      </c>
      <c r="I7" s="19">
        <v>5</v>
      </c>
      <c r="J7" s="20">
        <v>1</v>
      </c>
      <c r="K7" s="20">
        <v>4</v>
      </c>
      <c r="M7">
        <v>5</v>
      </c>
      <c r="N7">
        <v>0</v>
      </c>
      <c r="O7" s="13">
        <v>0</v>
      </c>
      <c r="P7" s="12"/>
    </row>
    <row r="8" spans="1:16" x14ac:dyDescent="0.3">
      <c r="A8" s="1">
        <v>7</v>
      </c>
      <c r="B8" s="1" t="s">
        <v>10</v>
      </c>
      <c r="C8" s="1">
        <v>213</v>
      </c>
      <c r="D8" s="1">
        <v>15</v>
      </c>
      <c r="E8" s="1">
        <v>13</v>
      </c>
      <c r="F8" s="2">
        <f t="shared" si="0"/>
        <v>2.1711210323527613E-3</v>
      </c>
      <c r="G8" s="2">
        <f t="shared" si="1"/>
        <v>2.112676056338028E-3</v>
      </c>
      <c r="H8" s="2">
        <f t="shared" si="2"/>
        <v>5.2398226521563887E-3</v>
      </c>
      <c r="I8" s="19">
        <v>3</v>
      </c>
      <c r="J8" s="20">
        <v>4</v>
      </c>
      <c r="K8" s="20">
        <v>1</v>
      </c>
      <c r="M8" t="s">
        <v>68</v>
      </c>
      <c r="N8">
        <v>162</v>
      </c>
      <c r="O8" s="13">
        <v>1</v>
      </c>
    </row>
    <row r="9" spans="1:16" x14ac:dyDescent="0.3">
      <c r="A9" s="1">
        <v>8</v>
      </c>
      <c r="B9" s="1" t="s">
        <v>11</v>
      </c>
      <c r="C9" s="1">
        <v>3291</v>
      </c>
      <c r="D9" s="1">
        <v>150</v>
      </c>
      <c r="E9" s="1">
        <v>39</v>
      </c>
      <c r="F9" s="2">
        <f t="shared" si="0"/>
        <v>3.3545348908323648E-2</v>
      </c>
      <c r="G9" s="2">
        <f t="shared" si="1"/>
        <v>2.1126760563380281E-2</v>
      </c>
      <c r="H9" s="2">
        <f t="shared" si="2"/>
        <v>1.5719467956469165E-2</v>
      </c>
      <c r="I9" s="19">
        <v>1</v>
      </c>
      <c r="J9" s="20">
        <v>1</v>
      </c>
      <c r="K9" s="20">
        <v>4</v>
      </c>
    </row>
    <row r="10" spans="1:16" x14ac:dyDescent="0.3">
      <c r="A10" s="1">
        <v>9</v>
      </c>
      <c r="B10" s="1" t="s">
        <v>12</v>
      </c>
      <c r="C10" s="1">
        <v>2341</v>
      </c>
      <c r="D10" s="1">
        <v>74</v>
      </c>
      <c r="E10" s="1">
        <v>31</v>
      </c>
      <c r="F10" s="2">
        <f t="shared" si="0"/>
        <v>2.3861945242900535E-2</v>
      </c>
      <c r="G10" s="2">
        <f t="shared" si="1"/>
        <v>1.0422535211267606E-2</v>
      </c>
      <c r="H10" s="2">
        <f t="shared" si="2"/>
        <v>1.2494961708988311E-2</v>
      </c>
      <c r="I10" s="19">
        <v>5</v>
      </c>
      <c r="J10" s="20">
        <v>5</v>
      </c>
      <c r="K10" s="20">
        <v>3</v>
      </c>
    </row>
    <row r="11" spans="1:16" x14ac:dyDescent="0.3">
      <c r="A11" s="1">
        <v>10</v>
      </c>
      <c r="B11" s="1" t="s">
        <v>13</v>
      </c>
      <c r="C11" s="1">
        <v>2631</v>
      </c>
      <c r="D11" s="1">
        <v>97</v>
      </c>
      <c r="E11" s="1">
        <v>42</v>
      </c>
      <c r="F11" s="2">
        <f t="shared" si="0"/>
        <v>2.6817931624977066E-2</v>
      </c>
      <c r="G11" s="2">
        <f t="shared" si="1"/>
        <v>1.3661971830985916E-2</v>
      </c>
      <c r="H11" s="2">
        <f t="shared" si="2"/>
        <v>1.6928657799274487E-2</v>
      </c>
      <c r="I11" s="19">
        <v>1</v>
      </c>
      <c r="J11" s="20">
        <v>1</v>
      </c>
      <c r="K11" s="20">
        <v>1</v>
      </c>
    </row>
    <row r="12" spans="1:16" x14ac:dyDescent="0.3">
      <c r="A12" s="1">
        <v>11</v>
      </c>
      <c r="B12" s="1" t="s">
        <v>14</v>
      </c>
      <c r="C12" s="1">
        <v>381</v>
      </c>
      <c r="D12" s="1">
        <v>56</v>
      </c>
      <c r="E12" s="1">
        <v>30</v>
      </c>
      <c r="F12" s="2">
        <f t="shared" si="0"/>
        <v>3.8835545226591646E-3</v>
      </c>
      <c r="G12" s="2">
        <f t="shared" si="1"/>
        <v>7.8873239436619714E-3</v>
      </c>
      <c r="H12" s="2">
        <f t="shared" si="2"/>
        <v>1.2091898428053204E-2</v>
      </c>
      <c r="I12" s="19">
        <v>5</v>
      </c>
      <c r="J12" s="20">
        <v>1</v>
      </c>
      <c r="K12" s="20">
        <v>1</v>
      </c>
    </row>
    <row r="13" spans="1:16" x14ac:dyDescent="0.3">
      <c r="A13" s="1">
        <v>12</v>
      </c>
      <c r="B13" s="1" t="s">
        <v>15</v>
      </c>
      <c r="C13" s="1">
        <v>215</v>
      </c>
      <c r="D13" s="1">
        <v>38</v>
      </c>
      <c r="E13" s="1">
        <v>26</v>
      </c>
      <c r="F13" s="2">
        <f t="shared" si="0"/>
        <v>2.1915071453325993E-3</v>
      </c>
      <c r="G13" s="2">
        <f t="shared" si="1"/>
        <v>5.3521126760563377E-3</v>
      </c>
      <c r="H13" s="2">
        <f t="shared" si="2"/>
        <v>1.0479645304312777E-2</v>
      </c>
      <c r="I13" s="19">
        <v>5</v>
      </c>
      <c r="J13" s="20">
        <v>3</v>
      </c>
      <c r="K13" s="20">
        <v>2</v>
      </c>
    </row>
    <row r="14" spans="1:16" x14ac:dyDescent="0.3">
      <c r="A14" s="1">
        <v>13</v>
      </c>
      <c r="B14" s="1" t="s">
        <v>16</v>
      </c>
      <c r="C14" s="1">
        <v>2106</v>
      </c>
      <c r="D14" s="1">
        <v>343</v>
      </c>
      <c r="E14" s="1">
        <v>57</v>
      </c>
      <c r="F14" s="2">
        <f t="shared" si="0"/>
        <v>2.1466576967769557E-2</v>
      </c>
      <c r="G14" s="2">
        <f t="shared" si="1"/>
        <v>4.830985915492958E-2</v>
      </c>
      <c r="H14" s="2">
        <f t="shared" si="2"/>
        <v>2.2974607013301087E-2</v>
      </c>
      <c r="I14" s="19">
        <v>2</v>
      </c>
      <c r="J14" s="20">
        <v>4</v>
      </c>
      <c r="K14" s="20">
        <v>1</v>
      </c>
    </row>
    <row r="15" spans="1:16" x14ac:dyDescent="0.3">
      <c r="A15" s="1">
        <v>14</v>
      </c>
      <c r="B15" s="1" t="s">
        <v>17</v>
      </c>
      <c r="C15" s="1">
        <v>713</v>
      </c>
      <c r="D15" s="1">
        <v>67</v>
      </c>
      <c r="E15" s="1">
        <v>42</v>
      </c>
      <c r="F15" s="2">
        <f t="shared" si="0"/>
        <v>7.2676492773122948E-3</v>
      </c>
      <c r="G15" s="2">
        <f t="shared" si="1"/>
        <v>9.4366197183098598E-3</v>
      </c>
      <c r="H15" s="2">
        <f t="shared" si="2"/>
        <v>1.6928657799274487E-2</v>
      </c>
      <c r="I15" s="19">
        <v>1</v>
      </c>
      <c r="J15" s="20">
        <v>3</v>
      </c>
      <c r="K15" s="20">
        <v>1</v>
      </c>
    </row>
    <row r="16" spans="1:16" x14ac:dyDescent="0.3">
      <c r="A16" s="1">
        <v>15</v>
      </c>
      <c r="B16" s="1" t="s">
        <v>18</v>
      </c>
      <c r="C16" s="1">
        <v>1257</v>
      </c>
      <c r="D16" s="1">
        <v>123</v>
      </c>
      <c r="E16" s="1">
        <v>36</v>
      </c>
      <c r="F16" s="2">
        <f t="shared" si="0"/>
        <v>1.2812672007828268E-2</v>
      </c>
      <c r="G16" s="2">
        <f t="shared" si="1"/>
        <v>1.7323943661971829E-2</v>
      </c>
      <c r="H16" s="2">
        <f t="shared" si="2"/>
        <v>1.4510278113663845E-2</v>
      </c>
      <c r="I16" s="19">
        <v>5</v>
      </c>
      <c r="J16" s="20">
        <v>3</v>
      </c>
      <c r="K16" s="20">
        <v>5</v>
      </c>
    </row>
    <row r="17" spans="1:11" x14ac:dyDescent="0.3">
      <c r="A17" s="1">
        <v>16</v>
      </c>
      <c r="B17" s="1" t="s">
        <v>19</v>
      </c>
      <c r="C17" s="1">
        <v>1192</v>
      </c>
      <c r="D17" s="1">
        <v>105</v>
      </c>
      <c r="E17" s="1">
        <v>66</v>
      </c>
      <c r="F17" s="2">
        <f t="shared" si="0"/>
        <v>1.2150123335983528E-2</v>
      </c>
      <c r="G17" s="2">
        <f t="shared" si="1"/>
        <v>1.4788732394366197E-2</v>
      </c>
      <c r="H17" s="2">
        <f t="shared" si="2"/>
        <v>2.6602176541717048E-2</v>
      </c>
      <c r="I17" s="19">
        <v>3</v>
      </c>
      <c r="J17" s="20">
        <v>2</v>
      </c>
      <c r="K17" s="20">
        <v>1</v>
      </c>
    </row>
    <row r="18" spans="1:11" x14ac:dyDescent="0.3">
      <c r="A18" s="1">
        <v>17</v>
      </c>
      <c r="B18" s="1" t="s">
        <v>20</v>
      </c>
      <c r="C18" s="1">
        <v>3050</v>
      </c>
      <c r="D18" s="1">
        <v>189</v>
      </c>
      <c r="E18" s="1">
        <v>64</v>
      </c>
      <c r="F18" s="2">
        <f t="shared" si="0"/>
        <v>3.1088822294253155E-2</v>
      </c>
      <c r="G18" s="2">
        <f t="shared" si="1"/>
        <v>2.6619718309859156E-2</v>
      </c>
      <c r="H18" s="2">
        <f t="shared" si="2"/>
        <v>2.5796049979846837E-2</v>
      </c>
      <c r="I18" s="19">
        <v>5</v>
      </c>
      <c r="J18" s="20">
        <v>4</v>
      </c>
      <c r="K18" s="20">
        <v>2</v>
      </c>
    </row>
    <row r="19" spans="1:11" x14ac:dyDescent="0.3">
      <c r="A19" s="1">
        <v>18</v>
      </c>
      <c r="B19" s="1" t="s">
        <v>22</v>
      </c>
      <c r="C19" s="1">
        <v>1358</v>
      </c>
      <c r="D19" s="1">
        <v>148</v>
      </c>
      <c r="E19" s="1">
        <v>85</v>
      </c>
      <c r="F19" s="2">
        <f t="shared" si="0"/>
        <v>1.3842170713310092E-2</v>
      </c>
      <c r="G19" s="2">
        <f t="shared" si="1"/>
        <v>2.0845070422535212E-2</v>
      </c>
      <c r="H19" s="2">
        <f t="shared" si="2"/>
        <v>3.4260378879484077E-2</v>
      </c>
      <c r="I19" s="19">
        <v>4</v>
      </c>
      <c r="J19" s="20">
        <v>1</v>
      </c>
      <c r="K19" s="20">
        <v>5</v>
      </c>
    </row>
    <row r="20" spans="1:11" x14ac:dyDescent="0.3">
      <c r="A20" s="1">
        <v>19</v>
      </c>
      <c r="B20" s="1" t="s">
        <v>21</v>
      </c>
      <c r="C20" s="1">
        <v>6539</v>
      </c>
      <c r="D20" s="1">
        <v>424</v>
      </c>
      <c r="E20" s="1">
        <v>92</v>
      </c>
      <c r="F20" s="2">
        <f t="shared" si="0"/>
        <v>6.6652396387580776E-2</v>
      </c>
      <c r="G20" s="2">
        <f t="shared" si="1"/>
        <v>5.9718309859154932E-2</v>
      </c>
      <c r="H20" s="2">
        <f t="shared" si="2"/>
        <v>3.7081821846029824E-2</v>
      </c>
      <c r="I20" s="19">
        <v>3</v>
      </c>
      <c r="J20" s="20">
        <v>1</v>
      </c>
      <c r="K20" s="20">
        <v>2</v>
      </c>
    </row>
    <row r="21" spans="1:11" x14ac:dyDescent="0.3">
      <c r="A21" s="1">
        <v>20</v>
      </c>
      <c r="B21" s="1" t="s">
        <v>23</v>
      </c>
      <c r="C21" s="1">
        <v>3161</v>
      </c>
      <c r="D21" s="1">
        <v>327</v>
      </c>
      <c r="E21" s="1">
        <v>79</v>
      </c>
      <c r="F21" s="2">
        <f t="shared" si="0"/>
        <v>3.2220251564634171E-2</v>
      </c>
      <c r="G21" s="2">
        <f t="shared" si="1"/>
        <v>4.6056338028169011E-2</v>
      </c>
      <c r="H21" s="2">
        <f t="shared" si="2"/>
        <v>3.1841999193873441E-2</v>
      </c>
      <c r="I21" s="19">
        <v>5</v>
      </c>
      <c r="J21" s="20">
        <v>5</v>
      </c>
      <c r="K21" s="20">
        <v>3</v>
      </c>
    </row>
    <row r="22" spans="1:11" x14ac:dyDescent="0.3">
      <c r="A22" s="1">
        <v>21</v>
      </c>
      <c r="B22" s="1" t="s">
        <v>24</v>
      </c>
      <c r="C22" s="1">
        <v>1972</v>
      </c>
      <c r="D22" s="1">
        <v>156</v>
      </c>
      <c r="E22" s="1">
        <v>43</v>
      </c>
      <c r="F22" s="2">
        <f t="shared" si="0"/>
        <v>2.01007073981204E-2</v>
      </c>
      <c r="G22" s="2">
        <f t="shared" si="1"/>
        <v>2.1971830985915493E-2</v>
      </c>
      <c r="H22" s="2">
        <f t="shared" si="2"/>
        <v>1.7331721080209594E-2</v>
      </c>
      <c r="I22" s="19">
        <v>1</v>
      </c>
      <c r="J22" s="20">
        <v>3</v>
      </c>
      <c r="K22" s="20">
        <v>2</v>
      </c>
    </row>
    <row r="23" spans="1:11" x14ac:dyDescent="0.3">
      <c r="A23" s="1">
        <v>22</v>
      </c>
      <c r="B23" s="1" t="s">
        <v>25</v>
      </c>
      <c r="C23" s="1">
        <v>1833</v>
      </c>
      <c r="D23" s="1">
        <v>172</v>
      </c>
      <c r="E23" s="1">
        <v>55</v>
      </c>
      <c r="F23" s="2">
        <f t="shared" si="0"/>
        <v>1.8683872546021649E-2</v>
      </c>
      <c r="G23" s="2">
        <f t="shared" si="1"/>
        <v>2.4225352112676058E-2</v>
      </c>
      <c r="H23" s="2">
        <f t="shared" si="2"/>
        <v>2.2168480451430876E-2</v>
      </c>
      <c r="I23" s="19">
        <v>3</v>
      </c>
      <c r="J23" s="20">
        <v>4</v>
      </c>
      <c r="K23" s="20">
        <v>1</v>
      </c>
    </row>
    <row r="24" spans="1:11" x14ac:dyDescent="0.3">
      <c r="A24" s="1">
        <v>23</v>
      </c>
      <c r="B24" s="1" t="s">
        <v>26</v>
      </c>
      <c r="C24" s="1">
        <v>595</v>
      </c>
      <c r="D24" s="1">
        <v>81</v>
      </c>
      <c r="E24" s="1">
        <v>40</v>
      </c>
      <c r="F24" s="2">
        <f t="shared" si="0"/>
        <v>6.064868611501845E-3</v>
      </c>
      <c r="G24" s="2">
        <f t="shared" si="1"/>
        <v>1.1408450704225352E-2</v>
      </c>
      <c r="H24" s="2">
        <f t="shared" si="2"/>
        <v>1.6122531237404272E-2</v>
      </c>
      <c r="I24" s="19">
        <v>5</v>
      </c>
      <c r="J24" s="20">
        <v>1</v>
      </c>
      <c r="K24" s="20">
        <v>4</v>
      </c>
    </row>
    <row r="25" spans="1:11" x14ac:dyDescent="0.3">
      <c r="A25" s="1">
        <v>24</v>
      </c>
      <c r="B25" s="1" t="s">
        <v>27</v>
      </c>
      <c r="C25" s="1">
        <v>1135</v>
      </c>
      <c r="D25" s="1">
        <v>148</v>
      </c>
      <c r="E25" s="1">
        <v>60</v>
      </c>
      <c r="F25" s="2">
        <f t="shared" si="0"/>
        <v>1.1569119116058141E-2</v>
      </c>
      <c r="G25" s="2">
        <f t="shared" si="1"/>
        <v>2.0845070422535212E-2</v>
      </c>
      <c r="H25" s="2">
        <f t="shared" si="2"/>
        <v>2.4183796856106408E-2</v>
      </c>
      <c r="I25" s="19">
        <v>3</v>
      </c>
      <c r="J25" s="20">
        <v>4</v>
      </c>
      <c r="K25" s="20">
        <v>5</v>
      </c>
    </row>
    <row r="26" spans="1:11" x14ac:dyDescent="0.3">
      <c r="A26" s="1">
        <v>25</v>
      </c>
      <c r="B26" s="1" t="s">
        <v>28</v>
      </c>
      <c r="C26" s="1">
        <v>2810</v>
      </c>
      <c r="D26" s="1">
        <v>269</v>
      </c>
      <c r="E26" s="1">
        <v>80</v>
      </c>
      <c r="F26" s="2">
        <f t="shared" si="0"/>
        <v>2.8642488736672578E-2</v>
      </c>
      <c r="G26" s="2">
        <f t="shared" si="1"/>
        <v>3.7887323943661969E-2</v>
      </c>
      <c r="H26" s="2">
        <f t="shared" si="2"/>
        <v>3.2245062474808545E-2</v>
      </c>
      <c r="I26" s="19">
        <v>5</v>
      </c>
      <c r="J26" s="20">
        <v>3</v>
      </c>
      <c r="K26" s="20">
        <v>5</v>
      </c>
    </row>
    <row r="27" spans="1:11" x14ac:dyDescent="0.3">
      <c r="A27" s="1">
        <v>26</v>
      </c>
      <c r="B27" s="1" t="s">
        <v>29</v>
      </c>
      <c r="C27" s="1">
        <v>1171</v>
      </c>
      <c r="D27" s="1">
        <v>77</v>
      </c>
      <c r="E27" s="1">
        <v>32</v>
      </c>
      <c r="F27" s="2">
        <f t="shared" si="0"/>
        <v>1.1936069149695227E-2</v>
      </c>
      <c r="G27" s="2">
        <f t="shared" si="1"/>
        <v>1.0845070422535212E-2</v>
      </c>
      <c r="H27" s="2">
        <f t="shared" si="2"/>
        <v>1.2898024989923419E-2</v>
      </c>
      <c r="I27" s="19">
        <v>3</v>
      </c>
      <c r="J27" s="20">
        <v>4</v>
      </c>
      <c r="K27" s="20">
        <v>1</v>
      </c>
    </row>
    <row r="28" spans="1:11" x14ac:dyDescent="0.3">
      <c r="A28" s="1">
        <v>27</v>
      </c>
      <c r="B28" s="1" t="s">
        <v>30</v>
      </c>
      <c r="C28" s="1">
        <v>5274</v>
      </c>
      <c r="D28" s="1">
        <v>577</v>
      </c>
      <c r="E28" s="1">
        <v>128</v>
      </c>
      <c r="F28" s="2">
        <f t="shared" si="0"/>
        <v>5.3758179927833161E-2</v>
      </c>
      <c r="G28" s="2">
        <f t="shared" si="1"/>
        <v>8.1267605633802822E-2</v>
      </c>
      <c r="H28" s="2">
        <f t="shared" si="2"/>
        <v>5.1592099959693674E-2</v>
      </c>
      <c r="I28" s="19">
        <v>5</v>
      </c>
      <c r="J28" s="20">
        <v>5</v>
      </c>
      <c r="K28" s="20">
        <v>2</v>
      </c>
    </row>
    <row r="29" spans="1:11" x14ac:dyDescent="0.3">
      <c r="A29" s="1">
        <v>28</v>
      </c>
      <c r="B29" s="1" t="s">
        <v>31</v>
      </c>
      <c r="C29" s="1">
        <v>876</v>
      </c>
      <c r="D29" s="1">
        <v>79</v>
      </c>
      <c r="E29" s="1">
        <v>107</v>
      </c>
      <c r="F29" s="2">
        <f t="shared" si="0"/>
        <v>8.9291174851691031E-3</v>
      </c>
      <c r="G29" s="2">
        <f t="shared" si="1"/>
        <v>1.1126760563380281E-2</v>
      </c>
      <c r="H29" s="2">
        <f t="shared" si="2"/>
        <v>4.3127771060056427E-2</v>
      </c>
      <c r="I29" s="19">
        <v>4</v>
      </c>
      <c r="J29" s="20">
        <v>4</v>
      </c>
      <c r="K29" s="20">
        <v>4</v>
      </c>
    </row>
    <row r="30" spans="1:11" x14ac:dyDescent="0.3">
      <c r="A30" s="1">
        <v>29</v>
      </c>
      <c r="B30" s="1" t="s">
        <v>32</v>
      </c>
      <c r="C30" s="1">
        <v>810</v>
      </c>
      <c r="D30" s="1">
        <v>166</v>
      </c>
      <c r="E30" s="1">
        <v>97</v>
      </c>
      <c r="F30" s="2">
        <f t="shared" si="0"/>
        <v>8.2563757568344439E-3</v>
      </c>
      <c r="G30" s="2">
        <f t="shared" si="1"/>
        <v>2.3380281690140847E-2</v>
      </c>
      <c r="H30" s="2">
        <f t="shared" si="2"/>
        <v>3.9097138250705363E-2</v>
      </c>
      <c r="I30" s="19">
        <v>4</v>
      </c>
      <c r="J30" s="20">
        <v>4</v>
      </c>
      <c r="K30" s="20">
        <v>5</v>
      </c>
    </row>
    <row r="31" spans="1:11" x14ac:dyDescent="0.3">
      <c r="A31" s="1">
        <v>30</v>
      </c>
      <c r="B31" s="1" t="s">
        <v>33</v>
      </c>
      <c r="C31" s="1">
        <v>564</v>
      </c>
      <c r="D31" s="1">
        <v>71</v>
      </c>
      <c r="E31" s="1">
        <v>42</v>
      </c>
      <c r="F31" s="2">
        <f t="shared" si="0"/>
        <v>5.7488838603143542E-3</v>
      </c>
      <c r="G31" s="2">
        <f t="shared" si="1"/>
        <v>0.01</v>
      </c>
      <c r="H31" s="2">
        <f t="shared" si="2"/>
        <v>1.6928657799274487E-2</v>
      </c>
      <c r="I31" s="19">
        <v>4</v>
      </c>
      <c r="J31" s="20">
        <v>3</v>
      </c>
      <c r="K31" s="20">
        <v>4</v>
      </c>
    </row>
    <row r="32" spans="1:11" x14ac:dyDescent="0.3">
      <c r="A32" s="1">
        <v>31</v>
      </c>
      <c r="B32" s="1" t="s">
        <v>34</v>
      </c>
      <c r="C32" s="1">
        <v>1341</v>
      </c>
      <c r="D32" s="1">
        <v>115</v>
      </c>
      <c r="E32" s="1">
        <v>89</v>
      </c>
      <c r="F32" s="2">
        <f t="shared" si="0"/>
        <v>1.3668888752981469E-2</v>
      </c>
      <c r="G32" s="2">
        <f t="shared" si="1"/>
        <v>1.6197183098591549E-2</v>
      </c>
      <c r="H32" s="2">
        <f t="shared" si="2"/>
        <v>3.5872632003224506E-2</v>
      </c>
      <c r="I32" s="19">
        <v>2</v>
      </c>
      <c r="J32" s="20">
        <v>1</v>
      </c>
      <c r="K32" s="20">
        <v>4</v>
      </c>
    </row>
    <row r="33" spans="1:11" x14ac:dyDescent="0.3">
      <c r="A33" s="1">
        <v>32</v>
      </c>
      <c r="B33" s="1" t="s">
        <v>35</v>
      </c>
      <c r="C33" s="1">
        <v>1225</v>
      </c>
      <c r="D33" s="1">
        <v>131</v>
      </c>
      <c r="E33" s="1">
        <v>49</v>
      </c>
      <c r="F33" s="2">
        <f t="shared" si="0"/>
        <v>1.2486494200150857E-2</v>
      </c>
      <c r="G33" s="2">
        <f t="shared" si="1"/>
        <v>1.8450704225352114E-2</v>
      </c>
      <c r="H33" s="2">
        <f t="shared" si="2"/>
        <v>1.9750100765820233E-2</v>
      </c>
      <c r="I33" s="19">
        <v>4</v>
      </c>
      <c r="J33" s="20">
        <v>3</v>
      </c>
      <c r="K33" s="20">
        <v>3</v>
      </c>
    </row>
    <row r="34" spans="1:11" x14ac:dyDescent="0.3">
      <c r="A34" s="1">
        <v>33</v>
      </c>
      <c r="B34" s="1" t="s">
        <v>36</v>
      </c>
      <c r="C34" s="1">
        <v>1900</v>
      </c>
      <c r="D34" s="1">
        <v>137</v>
      </c>
      <c r="E34" s="1">
        <v>30</v>
      </c>
      <c r="F34" s="2">
        <f t="shared" si="0"/>
        <v>1.9366807330846229E-2</v>
      </c>
      <c r="G34" s="2">
        <f t="shared" si="1"/>
        <v>1.9295774647887325E-2</v>
      </c>
      <c r="H34" s="2">
        <f t="shared" si="2"/>
        <v>1.2091898428053204E-2</v>
      </c>
      <c r="I34" s="19">
        <v>5</v>
      </c>
      <c r="J34" s="20">
        <v>5</v>
      </c>
      <c r="K34" s="20">
        <v>5</v>
      </c>
    </row>
    <row r="35" spans="1:11" x14ac:dyDescent="0.3">
      <c r="A35" s="1">
        <v>34</v>
      </c>
      <c r="B35" s="1" t="s">
        <v>37</v>
      </c>
      <c r="C35" s="1">
        <v>1563</v>
      </c>
      <c r="D35" s="1">
        <v>105</v>
      </c>
      <c r="E35" s="1">
        <v>30</v>
      </c>
      <c r="F35" s="2">
        <f t="shared" si="0"/>
        <v>1.5931747293743501E-2</v>
      </c>
      <c r="G35" s="2">
        <f t="shared" si="1"/>
        <v>1.4788732394366197E-2</v>
      </c>
      <c r="H35" s="2">
        <f t="shared" si="2"/>
        <v>1.2091898428053204E-2</v>
      </c>
      <c r="I35" s="19">
        <v>4</v>
      </c>
      <c r="J35" s="20">
        <v>3</v>
      </c>
      <c r="K35" s="20">
        <v>2</v>
      </c>
    </row>
    <row r="36" spans="1:11" x14ac:dyDescent="0.3">
      <c r="A36" s="1">
        <v>35</v>
      </c>
      <c r="B36" s="1" t="s">
        <v>38</v>
      </c>
      <c r="C36" s="1">
        <v>2028</v>
      </c>
      <c r="D36" s="1">
        <v>78</v>
      </c>
      <c r="E36" s="1">
        <v>54</v>
      </c>
      <c r="F36" s="2">
        <f t="shared" si="0"/>
        <v>2.0671518561555868E-2</v>
      </c>
      <c r="G36" s="2">
        <f t="shared" si="1"/>
        <v>1.0985915492957746E-2</v>
      </c>
      <c r="H36" s="2">
        <f t="shared" si="2"/>
        <v>2.1765417170495769E-2</v>
      </c>
      <c r="I36" s="19">
        <v>4</v>
      </c>
      <c r="J36" s="20">
        <v>4</v>
      </c>
      <c r="K36" s="20">
        <v>4</v>
      </c>
    </row>
    <row r="37" spans="1:11" x14ac:dyDescent="0.3">
      <c r="A37" s="1">
        <v>36</v>
      </c>
      <c r="B37" s="1" t="s">
        <v>39</v>
      </c>
      <c r="C37" s="1">
        <v>1613</v>
      </c>
      <c r="D37" s="1">
        <v>109</v>
      </c>
      <c r="E37" s="1">
        <v>40</v>
      </c>
      <c r="F37" s="2">
        <f t="shared" si="0"/>
        <v>1.6441400118239455E-2</v>
      </c>
      <c r="G37" s="2">
        <f t="shared" si="1"/>
        <v>1.5352112676056339E-2</v>
      </c>
      <c r="H37" s="2">
        <f t="shared" si="2"/>
        <v>1.6122531237404272E-2</v>
      </c>
      <c r="I37" s="19">
        <v>3</v>
      </c>
      <c r="J37" s="20">
        <v>5</v>
      </c>
      <c r="K37" s="20">
        <v>2</v>
      </c>
    </row>
    <row r="38" spans="1:11" x14ac:dyDescent="0.3">
      <c r="A38" s="1">
        <v>37</v>
      </c>
      <c r="B38" s="1" t="s">
        <v>40</v>
      </c>
      <c r="C38" s="1">
        <v>1058</v>
      </c>
      <c r="D38" s="1">
        <v>79</v>
      </c>
      <c r="E38" s="1">
        <v>47</v>
      </c>
      <c r="F38" s="2">
        <f t="shared" si="0"/>
        <v>1.0784253766334373E-2</v>
      </c>
      <c r="G38" s="2">
        <f t="shared" si="1"/>
        <v>1.1126760563380281E-2</v>
      </c>
      <c r="H38" s="2">
        <f t="shared" si="2"/>
        <v>1.8943974203950019E-2</v>
      </c>
      <c r="I38" s="19">
        <v>5</v>
      </c>
      <c r="J38" s="20">
        <v>4</v>
      </c>
      <c r="K38" s="20">
        <v>5</v>
      </c>
    </row>
    <row r="39" spans="1:11" x14ac:dyDescent="0.3">
      <c r="A39" s="1">
        <v>38</v>
      </c>
      <c r="B39" s="1" t="s">
        <v>41</v>
      </c>
      <c r="C39" s="1">
        <v>942</v>
      </c>
      <c r="D39" s="1">
        <v>101</v>
      </c>
      <c r="E39" s="1">
        <v>36</v>
      </c>
      <c r="F39" s="2">
        <f t="shared" si="0"/>
        <v>9.6018592135037606E-3</v>
      </c>
      <c r="G39" s="2">
        <f t="shared" si="1"/>
        <v>1.4225352112676056E-2</v>
      </c>
      <c r="H39" s="2">
        <f t="shared" si="2"/>
        <v>1.4510278113663845E-2</v>
      </c>
      <c r="I39" s="19">
        <v>2</v>
      </c>
      <c r="J39" s="20">
        <v>5</v>
      </c>
      <c r="K39" s="20">
        <v>1</v>
      </c>
    </row>
    <row r="40" spans="1:11" x14ac:dyDescent="0.3">
      <c r="A40" s="1">
        <v>39</v>
      </c>
      <c r="B40" s="1" t="s">
        <v>42</v>
      </c>
      <c r="C40" s="1">
        <v>4959</v>
      </c>
      <c r="D40" s="1">
        <v>213</v>
      </c>
      <c r="E40" s="1">
        <v>58</v>
      </c>
      <c r="F40" s="2">
        <f t="shared" si="0"/>
        <v>5.0547367133508651E-2</v>
      </c>
      <c r="G40" s="2">
        <f t="shared" si="1"/>
        <v>0.03</v>
      </c>
      <c r="H40" s="2">
        <f t="shared" si="2"/>
        <v>2.3377670294236194E-2</v>
      </c>
      <c r="I40" s="19">
        <v>2</v>
      </c>
      <c r="J40" s="20">
        <v>5</v>
      </c>
      <c r="K40" s="20">
        <v>1</v>
      </c>
    </row>
    <row r="41" spans="1:11" x14ac:dyDescent="0.3">
      <c r="A41" s="1">
        <v>40</v>
      </c>
      <c r="B41" s="1" t="s">
        <v>43</v>
      </c>
      <c r="C41" s="1">
        <v>3314</v>
      </c>
      <c r="D41" s="1">
        <v>206</v>
      </c>
      <c r="E41" s="1">
        <v>46</v>
      </c>
      <c r="F41" s="2">
        <f t="shared" si="0"/>
        <v>3.3779789207591789E-2</v>
      </c>
      <c r="G41" s="2">
        <f t="shared" si="1"/>
        <v>2.9014084507042254E-2</v>
      </c>
      <c r="H41" s="2">
        <f t="shared" si="2"/>
        <v>1.8540910923014912E-2</v>
      </c>
      <c r="I41" s="19">
        <v>3</v>
      </c>
      <c r="J41" s="20">
        <v>4</v>
      </c>
      <c r="K41" s="20">
        <v>3</v>
      </c>
    </row>
    <row r="42" spans="1:11" x14ac:dyDescent="0.3">
      <c r="A42" s="1">
        <v>41</v>
      </c>
      <c r="B42" s="1" t="s">
        <v>44</v>
      </c>
      <c r="C42" s="1">
        <v>3825</v>
      </c>
      <c r="D42" s="1">
        <v>202</v>
      </c>
      <c r="E42" s="1">
        <v>53</v>
      </c>
      <c r="F42" s="2">
        <f t="shared" si="0"/>
        <v>3.8988441073940429E-2</v>
      </c>
      <c r="G42" s="2">
        <f t="shared" si="1"/>
        <v>2.8450704225352112E-2</v>
      </c>
      <c r="H42" s="2">
        <f t="shared" si="2"/>
        <v>2.1362353889560662E-2</v>
      </c>
      <c r="I42" s="19">
        <v>5</v>
      </c>
      <c r="J42" s="20">
        <v>1</v>
      </c>
      <c r="K42" s="20">
        <v>2</v>
      </c>
    </row>
    <row r="43" spans="1:11" x14ac:dyDescent="0.3">
      <c r="A43" s="1">
        <v>42</v>
      </c>
      <c r="B43" s="1" t="s">
        <v>45</v>
      </c>
      <c r="C43" s="1">
        <v>1361</v>
      </c>
      <c r="D43" s="1">
        <v>73</v>
      </c>
      <c r="E43" s="1">
        <v>30</v>
      </c>
      <c r="F43" s="2">
        <f t="shared" si="0"/>
        <v>1.3872749882779851E-2</v>
      </c>
      <c r="G43" s="2">
        <f t="shared" si="1"/>
        <v>1.028169014084507E-2</v>
      </c>
      <c r="H43" s="2">
        <f t="shared" si="2"/>
        <v>1.2091898428053204E-2</v>
      </c>
      <c r="I43" s="19">
        <v>4</v>
      </c>
      <c r="J43" s="20">
        <v>5</v>
      </c>
      <c r="K43" s="20">
        <v>2</v>
      </c>
    </row>
    <row r="44" spans="1:11" x14ac:dyDescent="0.3">
      <c r="A44" s="1">
        <v>43</v>
      </c>
      <c r="B44" s="1" t="s">
        <v>46</v>
      </c>
      <c r="C44" s="1">
        <v>2533</v>
      </c>
      <c r="D44" s="1">
        <v>182</v>
      </c>
      <c r="E44" s="1">
        <v>39</v>
      </c>
      <c r="F44" s="2">
        <f t="shared" si="0"/>
        <v>2.5819012088964997E-2</v>
      </c>
      <c r="G44" s="2">
        <f t="shared" si="1"/>
        <v>2.5633802816901408E-2</v>
      </c>
      <c r="H44" s="2">
        <f t="shared" si="2"/>
        <v>1.5719467956469165E-2</v>
      </c>
      <c r="I44" s="19">
        <v>2</v>
      </c>
      <c r="J44" s="20">
        <v>1</v>
      </c>
      <c r="K44" s="20">
        <v>3</v>
      </c>
    </row>
    <row r="45" spans="1:11" x14ac:dyDescent="0.3">
      <c r="A45" s="1">
        <v>44</v>
      </c>
      <c r="B45" s="1" t="s">
        <v>47</v>
      </c>
      <c r="C45" s="1">
        <v>865</v>
      </c>
      <c r="D45" s="1">
        <v>44</v>
      </c>
      <c r="E45" s="1">
        <v>25</v>
      </c>
      <c r="F45" s="2">
        <f t="shared" si="0"/>
        <v>8.8169938637799924E-3</v>
      </c>
      <c r="G45" s="2">
        <f t="shared" si="1"/>
        <v>6.1971830985915492E-3</v>
      </c>
      <c r="H45" s="2">
        <f t="shared" si="2"/>
        <v>1.007658202337767E-2</v>
      </c>
      <c r="I45" s="19">
        <v>4</v>
      </c>
      <c r="J45" s="20">
        <v>5</v>
      </c>
      <c r="K45" s="20">
        <v>1</v>
      </c>
    </row>
    <row r="46" spans="1:11" x14ac:dyDescent="0.3">
      <c r="A46" s="1">
        <v>45</v>
      </c>
      <c r="B46" s="1" t="s">
        <v>48</v>
      </c>
      <c r="C46" s="1">
        <v>3107</v>
      </c>
      <c r="D46" s="1">
        <v>229</v>
      </c>
      <c r="E46" s="1">
        <v>49</v>
      </c>
      <c r="F46" s="2">
        <f t="shared" si="0"/>
        <v>3.1669826514178538E-2</v>
      </c>
      <c r="G46" s="2">
        <f t="shared" si="1"/>
        <v>3.2253521126760561E-2</v>
      </c>
      <c r="H46" s="2">
        <f t="shared" si="2"/>
        <v>1.9750100765820233E-2</v>
      </c>
      <c r="I46" s="19">
        <v>3</v>
      </c>
      <c r="J46" s="20">
        <v>3</v>
      </c>
      <c r="K46" s="20">
        <v>3</v>
      </c>
    </row>
    <row r="47" spans="1:11" x14ac:dyDescent="0.3">
      <c r="A47" s="1">
        <v>46</v>
      </c>
      <c r="B47" s="1" t="s">
        <v>49</v>
      </c>
      <c r="C47" s="1">
        <v>1936</v>
      </c>
      <c r="D47" s="1">
        <v>115</v>
      </c>
      <c r="E47" s="1">
        <v>22</v>
      </c>
      <c r="F47" s="2">
        <f t="shared" si="0"/>
        <v>1.9733757364483313E-2</v>
      </c>
      <c r="G47" s="2">
        <f t="shared" si="1"/>
        <v>1.6197183098591549E-2</v>
      </c>
      <c r="H47" s="2">
        <f t="shared" si="2"/>
        <v>8.8673921805723505E-3</v>
      </c>
      <c r="I47" s="19">
        <v>2</v>
      </c>
      <c r="J47" s="20">
        <v>2</v>
      </c>
      <c r="K47" s="20">
        <v>2</v>
      </c>
    </row>
    <row r="48" spans="1:11" x14ac:dyDescent="0.3">
      <c r="A48" s="1">
        <v>47</v>
      </c>
      <c r="B48" s="1" t="s">
        <v>50</v>
      </c>
      <c r="C48" s="1">
        <v>609</v>
      </c>
      <c r="D48" s="1">
        <v>50</v>
      </c>
      <c r="E48" s="1">
        <v>16</v>
      </c>
      <c r="F48" s="2">
        <f t="shared" si="0"/>
        <v>6.2075714023607119E-3</v>
      </c>
      <c r="G48" s="2">
        <f t="shared" si="1"/>
        <v>7.0422535211267607E-3</v>
      </c>
      <c r="H48" s="2">
        <f t="shared" si="2"/>
        <v>6.4490124949617093E-3</v>
      </c>
      <c r="I48" s="19">
        <v>1</v>
      </c>
      <c r="J48" s="20">
        <v>2</v>
      </c>
      <c r="K48" s="20">
        <v>2</v>
      </c>
    </row>
    <row r="49" spans="1:13" x14ac:dyDescent="0.3">
      <c r="A49" s="1">
        <v>48</v>
      </c>
      <c r="B49" s="1" t="s">
        <v>51</v>
      </c>
      <c r="C49" s="1">
        <v>391</v>
      </c>
      <c r="D49" s="1">
        <v>37</v>
      </c>
      <c r="E49" s="1">
        <v>21</v>
      </c>
      <c r="F49" s="2">
        <f t="shared" si="0"/>
        <v>3.9854850875583551E-3</v>
      </c>
      <c r="G49" s="2">
        <f t="shared" si="1"/>
        <v>5.211267605633803E-3</v>
      </c>
      <c r="H49" s="2">
        <f t="shared" si="2"/>
        <v>8.4643288996372433E-3</v>
      </c>
      <c r="I49" s="19">
        <v>4</v>
      </c>
      <c r="J49" s="20">
        <v>3</v>
      </c>
      <c r="K49" s="20">
        <v>3</v>
      </c>
    </row>
    <row r="50" spans="1:13" x14ac:dyDescent="0.3">
      <c r="A50" s="1">
        <v>49</v>
      </c>
      <c r="B50" s="1" t="s">
        <v>52</v>
      </c>
      <c r="C50" s="1">
        <v>1607</v>
      </c>
      <c r="D50" s="1">
        <v>122</v>
      </c>
      <c r="E50" s="1">
        <v>25</v>
      </c>
      <c r="F50" s="2">
        <f t="shared" si="0"/>
        <v>1.6380241779299941E-2</v>
      </c>
      <c r="G50" s="2">
        <f t="shared" si="1"/>
        <v>1.7183098591549296E-2</v>
      </c>
      <c r="H50" s="2">
        <f t="shared" si="2"/>
        <v>1.007658202337767E-2</v>
      </c>
      <c r="I50" s="19">
        <v>1</v>
      </c>
      <c r="J50" s="20">
        <v>2</v>
      </c>
      <c r="K50" s="20">
        <v>3</v>
      </c>
    </row>
    <row r="51" spans="1:13" x14ac:dyDescent="0.3">
      <c r="A51" s="1">
        <v>50</v>
      </c>
      <c r="B51" s="1" t="s">
        <v>53</v>
      </c>
      <c r="C51" s="1">
        <v>388</v>
      </c>
      <c r="D51" s="1">
        <v>45</v>
      </c>
      <c r="E51" s="1">
        <v>13</v>
      </c>
      <c r="F51" s="2">
        <f t="shared" si="0"/>
        <v>3.9549059180885981E-3</v>
      </c>
      <c r="G51" s="2">
        <f t="shared" si="1"/>
        <v>6.3380281690140847E-3</v>
      </c>
      <c r="H51" s="2">
        <f t="shared" si="2"/>
        <v>5.2398226521563887E-3</v>
      </c>
      <c r="I51" s="19">
        <v>3</v>
      </c>
      <c r="J51" s="20">
        <v>4</v>
      </c>
      <c r="K51" s="20">
        <v>2</v>
      </c>
    </row>
    <row r="52" spans="1:13" x14ac:dyDescent="0.3">
      <c r="A52" s="1">
        <v>51</v>
      </c>
      <c r="B52" s="1" t="s">
        <v>54</v>
      </c>
      <c r="C52" s="1">
        <v>31</v>
      </c>
      <c r="D52" s="1">
        <v>27</v>
      </c>
      <c r="E52" s="1">
        <v>16</v>
      </c>
      <c r="F52" s="2">
        <f t="shared" si="0"/>
        <v>3.1598475118749106E-4</v>
      </c>
      <c r="G52" s="2">
        <f t="shared" si="1"/>
        <v>3.8028169014084506E-3</v>
      </c>
      <c r="H52" s="2">
        <f t="shared" si="2"/>
        <v>6.4490124949617093E-3</v>
      </c>
      <c r="I52" s="19">
        <v>1</v>
      </c>
      <c r="J52" s="20">
        <v>1</v>
      </c>
      <c r="K52" s="20">
        <v>1</v>
      </c>
    </row>
    <row r="53" spans="1:13" x14ac:dyDescent="0.3">
      <c r="A53" s="1">
        <v>52</v>
      </c>
      <c r="B53" s="1" t="s">
        <v>55</v>
      </c>
      <c r="C53" s="1">
        <v>0</v>
      </c>
      <c r="D53" s="1">
        <v>21</v>
      </c>
      <c r="E53" s="1">
        <v>16</v>
      </c>
      <c r="F53" s="2">
        <f t="shared" si="0"/>
        <v>0</v>
      </c>
      <c r="G53" s="2">
        <f t="shared" si="1"/>
        <v>2.9577464788732395E-3</v>
      </c>
      <c r="H53" s="2">
        <f t="shared" si="2"/>
        <v>6.4490124949617093E-3</v>
      </c>
      <c r="I53" s="19">
        <v>1</v>
      </c>
      <c r="J53" s="20">
        <v>2</v>
      </c>
      <c r="K53" s="20">
        <v>1</v>
      </c>
    </row>
    <row r="54" spans="1:13" x14ac:dyDescent="0.3">
      <c r="A54" s="1">
        <v>53</v>
      </c>
      <c r="B54" s="1" t="s">
        <v>56</v>
      </c>
      <c r="C54" s="1">
        <v>41</v>
      </c>
      <c r="D54" s="1">
        <v>31</v>
      </c>
      <c r="E54" s="1">
        <v>20</v>
      </c>
      <c r="F54" s="2">
        <f t="shared" si="0"/>
        <v>4.1791531608668177E-4</v>
      </c>
      <c r="G54" s="2">
        <f t="shared" si="1"/>
        <v>4.3661971830985915E-3</v>
      </c>
      <c r="H54" s="2">
        <f t="shared" si="2"/>
        <v>8.0612656187021361E-3</v>
      </c>
      <c r="I54" s="19">
        <v>3</v>
      </c>
      <c r="J54" s="20">
        <v>3</v>
      </c>
      <c r="K54" s="20">
        <v>5</v>
      </c>
    </row>
    <row r="55" spans="1:13" x14ac:dyDescent="0.3">
      <c r="A55" s="1">
        <v>54</v>
      </c>
      <c r="B55" s="1" t="s">
        <v>57</v>
      </c>
      <c r="C55" s="1"/>
      <c r="D55" s="1"/>
      <c r="E55" s="1"/>
      <c r="F55" s="2">
        <f t="shared" si="0"/>
        <v>0</v>
      </c>
      <c r="G55" s="2">
        <f t="shared" si="1"/>
        <v>0</v>
      </c>
      <c r="H55" s="2">
        <f t="shared" si="2"/>
        <v>0</v>
      </c>
      <c r="I55" s="19">
        <v>4</v>
      </c>
      <c r="J55" s="20">
        <v>2</v>
      </c>
      <c r="K55" s="20">
        <v>3</v>
      </c>
    </row>
    <row r="56" spans="1:13" x14ac:dyDescent="0.3">
      <c r="B56" s="1" t="s">
        <v>68</v>
      </c>
      <c r="C56" s="1">
        <f>SUM(C2:C55)</f>
        <v>98106</v>
      </c>
      <c r="D56" s="1">
        <f t="shared" ref="D56:H56" si="3">SUM(D2:D55)</f>
        <v>7100</v>
      </c>
      <c r="E56" s="1">
        <f t="shared" si="3"/>
        <v>2481</v>
      </c>
      <c r="F56" s="14">
        <f t="shared" si="3"/>
        <v>1</v>
      </c>
      <c r="G56" s="14">
        <f t="shared" si="3"/>
        <v>1.0000000000000002</v>
      </c>
      <c r="H56" s="14">
        <f t="shared" si="3"/>
        <v>0.99999999999999989</v>
      </c>
      <c r="I56" s="17"/>
      <c r="J56" s="17"/>
      <c r="K56" s="17"/>
    </row>
    <row r="57" spans="1:13" x14ac:dyDescent="0.3">
      <c r="I57" s="17"/>
      <c r="J57" s="17"/>
      <c r="K57" s="17"/>
    </row>
    <row r="58" spans="1:13" x14ac:dyDescent="0.3">
      <c r="I58" s="17"/>
      <c r="J58" s="17"/>
      <c r="K58" s="17"/>
    </row>
    <row r="59" spans="1:13" x14ac:dyDescent="0.3">
      <c r="B59" t="s">
        <v>73</v>
      </c>
      <c r="G59" s="1" t="s">
        <v>70</v>
      </c>
      <c r="H59" s="1" t="s">
        <v>67</v>
      </c>
      <c r="I59" s="18" t="s">
        <v>61</v>
      </c>
      <c r="J59" s="18" t="s">
        <v>62</v>
      </c>
      <c r="K59" s="18" t="s">
        <v>63</v>
      </c>
      <c r="L59" s="1" t="s">
        <v>65</v>
      </c>
      <c r="M59" s="1" t="s">
        <v>66</v>
      </c>
    </row>
    <row r="60" spans="1:13" x14ac:dyDescent="0.3">
      <c r="G60" s="1">
        <f>M3</f>
        <v>1</v>
      </c>
      <c r="H60" s="3"/>
      <c r="I60" s="1">
        <f>COUNTIF(I2:I55, 1)</f>
        <v>10</v>
      </c>
      <c r="J60" s="1">
        <f t="shared" ref="J60:K60" si="4">COUNTIF(J2:J55, 1)</f>
        <v>12</v>
      </c>
      <c r="K60" s="1">
        <f t="shared" si="4"/>
        <v>15</v>
      </c>
      <c r="L60" s="1">
        <f>SUM(I60:K60)</f>
        <v>37</v>
      </c>
      <c r="M60" s="2">
        <f>L60/$L$65</f>
        <v>0.22839506172839505</v>
      </c>
    </row>
    <row r="61" spans="1:13" x14ac:dyDescent="0.3">
      <c r="G61" s="1">
        <f t="shared" ref="G61:G64" si="5">M4</f>
        <v>2</v>
      </c>
      <c r="H61" s="4"/>
      <c r="I61" s="1">
        <f>COUNTIF(I2:I55, 2)</f>
        <v>7</v>
      </c>
      <c r="J61" s="1">
        <f t="shared" ref="J61:K61" si="6">COUNTIF(J2:J55, 2)</f>
        <v>7</v>
      </c>
      <c r="K61" s="1">
        <f t="shared" si="6"/>
        <v>13</v>
      </c>
      <c r="L61" s="1">
        <f t="shared" ref="L61:L64" si="7">SUM(I61:K61)</f>
        <v>27</v>
      </c>
      <c r="M61" s="2">
        <f t="shared" ref="M61:M64" si="8">L61/$L$65</f>
        <v>0.16666666666666666</v>
      </c>
    </row>
    <row r="62" spans="1:13" x14ac:dyDescent="0.3">
      <c r="G62" s="1">
        <f t="shared" si="5"/>
        <v>3</v>
      </c>
      <c r="H62" s="5"/>
      <c r="I62" s="1">
        <f>COUNTIF(I2:I55, 3)</f>
        <v>11</v>
      </c>
      <c r="J62" s="1">
        <f t="shared" ref="J62:K62" si="9">COUNTIF(J2:J55, 3)</f>
        <v>11</v>
      </c>
      <c r="K62" s="1">
        <f t="shared" si="9"/>
        <v>9</v>
      </c>
      <c r="L62" s="1">
        <f t="shared" si="7"/>
        <v>31</v>
      </c>
      <c r="M62" s="2">
        <f t="shared" si="8"/>
        <v>0.19135802469135801</v>
      </c>
    </row>
    <row r="63" spans="1:13" x14ac:dyDescent="0.3">
      <c r="G63" s="1">
        <f t="shared" si="5"/>
        <v>4</v>
      </c>
      <c r="H63" s="6"/>
      <c r="I63" s="1">
        <f>COUNTIF(I2:I55, 4)</f>
        <v>12</v>
      </c>
      <c r="J63" s="1">
        <f t="shared" ref="J63:K63" si="10">COUNTIF(J2:J55, 4)</f>
        <v>13</v>
      </c>
      <c r="K63" s="1">
        <f t="shared" si="10"/>
        <v>8</v>
      </c>
      <c r="L63" s="1">
        <f t="shared" si="7"/>
        <v>33</v>
      </c>
      <c r="M63" s="2">
        <f t="shared" si="8"/>
        <v>0.20370370370370369</v>
      </c>
    </row>
    <row r="64" spans="1:13" x14ac:dyDescent="0.3">
      <c r="G64" s="1">
        <f t="shared" si="5"/>
        <v>5</v>
      </c>
      <c r="H64" s="7"/>
      <c r="I64" s="1">
        <f>COUNTIF(I2:I55, 5)</f>
        <v>14</v>
      </c>
      <c r="J64" s="1">
        <f t="shared" ref="J64:K64" si="11">COUNTIF(J2:J55, 5)</f>
        <v>11</v>
      </c>
      <c r="K64" s="1">
        <f t="shared" si="11"/>
        <v>9</v>
      </c>
      <c r="L64" s="1">
        <f t="shared" si="7"/>
        <v>34</v>
      </c>
      <c r="M64" s="2">
        <f t="shared" si="8"/>
        <v>0.20987654320987653</v>
      </c>
    </row>
    <row r="65" spans="2:13" x14ac:dyDescent="0.3">
      <c r="G65" s="1"/>
      <c r="H65" s="1" t="s">
        <v>68</v>
      </c>
      <c r="I65" s="1">
        <f>SUM(I60:I64)</f>
        <v>54</v>
      </c>
      <c r="J65" s="1">
        <f t="shared" ref="J65:K65" si="12">SUM(J60:J64)</f>
        <v>54</v>
      </c>
      <c r="K65" s="1">
        <f t="shared" si="12"/>
        <v>54</v>
      </c>
      <c r="L65" s="1">
        <f>SUM(I65:K65)</f>
        <v>162</v>
      </c>
      <c r="M65" s="2">
        <f>L65/$L$65</f>
        <v>1</v>
      </c>
    </row>
    <row r="67" spans="2:13" x14ac:dyDescent="0.3">
      <c r="B67" s="1" t="s">
        <v>69</v>
      </c>
      <c r="C67">
        <v>2</v>
      </c>
      <c r="D67">
        <v>1</v>
      </c>
      <c r="E67">
        <v>1</v>
      </c>
      <c r="G67" s="1" t="s">
        <v>70</v>
      </c>
      <c r="H67" s="1" t="s">
        <v>67</v>
      </c>
      <c r="I67" s="1" t="s">
        <v>61</v>
      </c>
      <c r="J67" s="1" t="s">
        <v>62</v>
      </c>
      <c r="K67" s="1" t="s">
        <v>63</v>
      </c>
      <c r="L67" s="1" t="s">
        <v>65</v>
      </c>
      <c r="M67" s="1" t="s">
        <v>66</v>
      </c>
    </row>
    <row r="68" spans="2:13" x14ac:dyDescent="0.3">
      <c r="G68" s="1">
        <f>M3</f>
        <v>1</v>
      </c>
      <c r="H68" s="3"/>
      <c r="I68" s="1">
        <f t="shared" ref="I68:I72" si="13">I60*$C$67</f>
        <v>20</v>
      </c>
      <c r="J68" s="1">
        <f t="shared" ref="J68:J72" si="14">J60*$D$67</f>
        <v>12</v>
      </c>
      <c r="K68" s="1">
        <f t="shared" ref="K68:K72" si="15">K60*$E$67</f>
        <v>15</v>
      </c>
      <c r="L68" s="1">
        <f>SUM(I68:K68)</f>
        <v>47</v>
      </c>
      <c r="M68" s="2">
        <f>L68/$L$73</f>
        <v>0.21759259259259259</v>
      </c>
    </row>
    <row r="69" spans="2:13" x14ac:dyDescent="0.3">
      <c r="G69" s="1">
        <f t="shared" ref="G69:G72" si="16">M4</f>
        <v>2</v>
      </c>
      <c r="H69" s="4"/>
      <c r="I69" s="1">
        <f t="shared" si="13"/>
        <v>14</v>
      </c>
      <c r="J69" s="1">
        <f t="shared" si="14"/>
        <v>7</v>
      </c>
      <c r="K69" s="1">
        <f t="shared" si="15"/>
        <v>13</v>
      </c>
      <c r="L69" s="1">
        <f t="shared" ref="L69:L72" si="17">SUM(I69:K69)</f>
        <v>34</v>
      </c>
      <c r="M69" s="2">
        <f t="shared" ref="M69:M73" si="18">L69/$L$73</f>
        <v>0.15740740740740741</v>
      </c>
    </row>
    <row r="70" spans="2:13" x14ac:dyDescent="0.3">
      <c r="G70" s="1">
        <f t="shared" si="16"/>
        <v>3</v>
      </c>
      <c r="H70" s="5"/>
      <c r="I70" s="1">
        <f t="shared" si="13"/>
        <v>22</v>
      </c>
      <c r="J70" s="1">
        <f t="shared" si="14"/>
        <v>11</v>
      </c>
      <c r="K70" s="1">
        <f t="shared" si="15"/>
        <v>9</v>
      </c>
      <c r="L70" s="1">
        <f t="shared" si="17"/>
        <v>42</v>
      </c>
      <c r="M70" s="2">
        <f t="shared" si="18"/>
        <v>0.19444444444444445</v>
      </c>
    </row>
    <row r="71" spans="2:13" x14ac:dyDescent="0.3">
      <c r="G71" s="1">
        <f t="shared" si="16"/>
        <v>4</v>
      </c>
      <c r="H71" s="6"/>
      <c r="I71" s="1">
        <f t="shared" si="13"/>
        <v>24</v>
      </c>
      <c r="J71" s="1">
        <f t="shared" si="14"/>
        <v>13</v>
      </c>
      <c r="K71" s="1">
        <f t="shared" si="15"/>
        <v>8</v>
      </c>
      <c r="L71" s="1">
        <f t="shared" si="17"/>
        <v>45</v>
      </c>
      <c r="M71" s="2">
        <f t="shared" si="18"/>
        <v>0.20833333333333334</v>
      </c>
    </row>
    <row r="72" spans="2:13" x14ac:dyDescent="0.3">
      <c r="G72" s="1">
        <f t="shared" si="16"/>
        <v>5</v>
      </c>
      <c r="H72" s="7"/>
      <c r="I72" s="1">
        <f t="shared" si="13"/>
        <v>28</v>
      </c>
      <c r="J72" s="1">
        <f t="shared" si="14"/>
        <v>11</v>
      </c>
      <c r="K72" s="1">
        <f t="shared" si="15"/>
        <v>9</v>
      </c>
      <c r="L72" s="1">
        <f t="shared" si="17"/>
        <v>48</v>
      </c>
      <c r="M72" s="2">
        <f t="shared" si="18"/>
        <v>0.22222222222222221</v>
      </c>
    </row>
    <row r="73" spans="2:13" x14ac:dyDescent="0.3">
      <c r="G73" s="1"/>
      <c r="H73" s="1" t="s">
        <v>68</v>
      </c>
      <c r="I73" s="1">
        <f>SUM(I68:I72)</f>
        <v>108</v>
      </c>
      <c r="J73" s="1">
        <f t="shared" ref="J73:K73" si="19">SUM(J68:J72)</f>
        <v>54</v>
      </c>
      <c r="K73" s="1">
        <f t="shared" si="19"/>
        <v>54</v>
      </c>
      <c r="L73" s="1">
        <f>SUM(I73:K73)</f>
        <v>216</v>
      </c>
      <c r="M73" s="2">
        <f t="shared" si="18"/>
        <v>1</v>
      </c>
    </row>
    <row r="75" spans="2:13" x14ac:dyDescent="0.3">
      <c r="B75" t="s">
        <v>71</v>
      </c>
      <c r="C75">
        <v>1</v>
      </c>
      <c r="D75">
        <v>1</v>
      </c>
      <c r="E75">
        <v>1</v>
      </c>
      <c r="G75" s="1" t="s">
        <v>70</v>
      </c>
      <c r="H75" s="1" t="s">
        <v>67</v>
      </c>
      <c r="I75" s="1" t="s">
        <v>61</v>
      </c>
      <c r="J75" s="1" t="s">
        <v>62</v>
      </c>
      <c r="K75" s="1" t="s">
        <v>63</v>
      </c>
      <c r="L75" s="1" t="s">
        <v>72</v>
      </c>
    </row>
    <row r="76" spans="2:13" x14ac:dyDescent="0.3">
      <c r="G76" s="1">
        <v>1</v>
      </c>
      <c r="H76" s="3"/>
      <c r="I76" s="2">
        <f>(SUMIFS(F2:F55, I2:I55, "&gt;=1", I2:I55, "&lt;2"))*C75</f>
        <v>0.1458830244837217</v>
      </c>
      <c r="J76" s="2">
        <f t="shared" ref="J76:K76" si="20">(SUMIFS(G2:G55, J2:J55, "&gt;=1", J2:J55, "&lt;2"))*D75</f>
        <v>0.24830985915492962</v>
      </c>
      <c r="K76" s="2">
        <f t="shared" si="20"/>
        <v>0.24183796856106407</v>
      </c>
      <c r="L76" s="2">
        <f>SUMPRODUCT($C$75:$E$75,I76:K76)/SUM($C$75:$E$75)</f>
        <v>0.21201028406657182</v>
      </c>
      <c r="M76" s="16"/>
    </row>
    <row r="77" spans="2:13" x14ac:dyDescent="0.3">
      <c r="G77" s="1">
        <v>2</v>
      </c>
      <c r="H77" s="4"/>
      <c r="I77" s="2">
        <f>(SUMIFS(F2:F55, I2:I55, "&gt;=2", I2:I55, "&lt;3"))*C75</f>
        <v>0.17141663099096896</v>
      </c>
      <c r="J77" s="2">
        <f t="shared" ref="J77:K77" si="21">(SUMIFS(G2:G55, J2:J55, "&gt;=2", J2:J55, "&lt;3"))*D75</f>
        <v>7.5070422535211276E-2</v>
      </c>
      <c r="K77" s="2">
        <f t="shared" si="21"/>
        <v>0.23780733575171303</v>
      </c>
      <c r="L77" s="2">
        <f t="shared" ref="L77:L80" si="22">SUMPRODUCT($C$75:$E$75,I77:K77)/SUM($C$75:$E$75)</f>
        <v>0.16143146309263109</v>
      </c>
      <c r="M77" s="16"/>
    </row>
    <row r="78" spans="2:13" x14ac:dyDescent="0.3">
      <c r="G78" s="1">
        <v>3</v>
      </c>
      <c r="H78" s="5"/>
      <c r="I78" s="2">
        <f>(SUMIFS(F2:F55, I2:I55, "&gt;=3", I2:I55, "&lt;4"))*C75</f>
        <v>0.2094265386418771</v>
      </c>
      <c r="J78" s="2">
        <f t="shared" ref="J78:K78" si="23">(SUMIFS(G2:G55, J2:J55, "&gt;=3", J2:J55, "&lt;4"))*D75</f>
        <v>0.17704225352112674</v>
      </c>
      <c r="K78" s="2">
        <f t="shared" si="23"/>
        <v>0.13663845223700119</v>
      </c>
      <c r="L78" s="2">
        <f t="shared" si="22"/>
        <v>0.17436908146666832</v>
      </c>
      <c r="M78" s="16"/>
    </row>
    <row r="79" spans="2:13" x14ac:dyDescent="0.3">
      <c r="G79" s="1">
        <v>4</v>
      </c>
      <c r="H79" s="6"/>
      <c r="I79" s="2">
        <f>(SUMIFS(F2:F55, I2:I55, "&gt;=4", I2:I55, "&lt;5"))*C75</f>
        <v>0.14698387458463294</v>
      </c>
      <c r="J79" s="2">
        <f t="shared" ref="J79:K79" si="24">(SUMIFS(G2:G55, J2:J55, "&gt;=4", J2:J55, "&lt;5"))*D75</f>
        <v>0.23225352112676054</v>
      </c>
      <c r="K79" s="2">
        <f t="shared" si="24"/>
        <v>0.19185812172511083</v>
      </c>
      <c r="L79" s="2">
        <f t="shared" si="22"/>
        <v>0.19036517247883478</v>
      </c>
      <c r="M79" s="16"/>
    </row>
    <row r="80" spans="2:13" x14ac:dyDescent="0.3">
      <c r="G80" s="1">
        <v>5</v>
      </c>
      <c r="H80" s="7"/>
      <c r="I80" s="2">
        <f>(SUMIFS(F2:F55, I2:I55, "&gt;=5", I2:I55, "&lt;6"))*C75</f>
        <v>0.3262899312987993</v>
      </c>
      <c r="J80" s="2">
        <f t="shared" ref="J80:K80" si="25">(SUMIFS(G2:G55, J2:J55, "&gt;=5", J2:J55, "&lt;6"))*D75</f>
        <v>0.26732394366197187</v>
      </c>
      <c r="K80" s="2">
        <f t="shared" si="25"/>
        <v>0.19185812172511083</v>
      </c>
      <c r="L80" s="2">
        <f t="shared" si="22"/>
        <v>0.26182399889529401</v>
      </c>
      <c r="M80" s="16"/>
    </row>
    <row r="81" spans="7:13" x14ac:dyDescent="0.3">
      <c r="G81" s="1"/>
      <c r="H81" s="1" t="s">
        <v>68</v>
      </c>
      <c r="I81" s="14">
        <f>SUM(I76:I80)</f>
        <v>1</v>
      </c>
      <c r="J81" s="14">
        <f t="shared" ref="J81:K81" si="26">SUM(J76:J80)</f>
        <v>1</v>
      </c>
      <c r="K81" s="14">
        <f t="shared" si="26"/>
        <v>1</v>
      </c>
      <c r="L81" s="2">
        <f>SUM(L76:L80)</f>
        <v>1</v>
      </c>
      <c r="M81" s="16"/>
    </row>
    <row r="84" spans="7:13" x14ac:dyDescent="0.3">
      <c r="I84" s="15"/>
    </row>
    <row r="85" spans="7:13" x14ac:dyDescent="0.3">
      <c r="I85" s="15"/>
    </row>
    <row r="86" spans="7:13" x14ac:dyDescent="0.3">
      <c r="I86" s="15"/>
    </row>
    <row r="87" spans="7:13" x14ac:dyDescent="0.3">
      <c r="I87" s="15"/>
    </row>
    <row r="88" spans="7:13" x14ac:dyDescent="0.3">
      <c r="I88" s="15"/>
    </row>
    <row r="89" spans="7:13" x14ac:dyDescent="0.3">
      <c r="I89" s="15"/>
    </row>
  </sheetData>
  <autoFilter ref="A1:K56" xr:uid="{540DABD1-9649-464B-A6F3-724823E15746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Romero Huertas</dc:creator>
  <cp:lastModifiedBy>David Joaquin Delgado Hernández</cp:lastModifiedBy>
  <dcterms:created xsi:type="dcterms:W3CDTF">2025-06-05T21:44:44Z</dcterms:created>
  <dcterms:modified xsi:type="dcterms:W3CDTF">2025-06-11T08:48:16Z</dcterms:modified>
</cp:coreProperties>
</file>